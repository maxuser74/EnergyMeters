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camozzicloud-my.sharepoint.com/personal/mpasseri_fonderiemoragavardo_it/Documents/Documenti/VSCode/EnergyMeters/"/>
    </mc:Choice>
  </mc:AlternateContent>
  <xr:revisionPtr revIDLastSave="523" documentId="11_CBF82CE5D29271A855494D68F3BC070891C844B4" xr6:coauthVersionLast="47" xr6:coauthVersionMax="47" xr10:uidLastSave="{BF921028-FB44-42E8-92CC-B0698E0E22AB}"/>
  <bookViews>
    <workbookView xWindow="28680" yWindow="-120" windowWidth="29040" windowHeight="15720" tabRatio="213" xr2:uid="{00000000-000D-0000-FFFF-FFFF00000000}"/>
  </bookViews>
  <sheets>
    <sheet name="Foglio1" sheetId="1" r:id="rId1"/>
    <sheet name="Foglio3" sheetId="3" r:id="rId2"/>
  </sheets>
  <definedNames>
    <definedName name="_xlnm.Print_Area" localSheetId="0">Foglio1!$A$1:$F$28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2" i="1" l="1"/>
  <c r="I61" i="1"/>
  <c r="I60" i="1"/>
  <c r="I59" i="1"/>
  <c r="I58" i="1"/>
  <c r="I57" i="1"/>
  <c r="I56" i="1"/>
  <c r="I54" i="1"/>
  <c r="I23" i="1"/>
  <c r="I22" i="1"/>
  <c r="I21" i="1"/>
  <c r="I19" i="1"/>
  <c r="I18" i="1"/>
  <c r="I17" i="1"/>
  <c r="I16" i="1"/>
  <c r="I15" i="1"/>
  <c r="I65" i="1"/>
  <c r="I64" i="1"/>
  <c r="I38" i="1"/>
  <c r="I37" i="1"/>
  <c r="I11" i="1"/>
  <c r="I9" i="1"/>
  <c r="I6" i="1"/>
  <c r="I5" i="1"/>
  <c r="I4" i="1"/>
  <c r="I3" i="1"/>
  <c r="I41" i="1"/>
  <c r="I40" i="1"/>
  <c r="I39" i="1"/>
  <c r="I36" i="1"/>
  <c r="I34" i="1"/>
  <c r="I32" i="1"/>
  <c r="I31" i="1"/>
  <c r="I30" i="1"/>
</calcChain>
</file>

<file path=xl/sharedStrings.xml><?xml version="1.0" encoding="utf-8"?>
<sst xmlns="http://schemas.openxmlformats.org/spreadsheetml/2006/main" count="367" uniqueCount="183">
  <si>
    <t>Cabina</t>
  </si>
  <si>
    <t>Nodo</t>
  </si>
  <si>
    <t>Nome</t>
  </si>
  <si>
    <t>1</t>
  </si>
  <si>
    <t>Generale 2500A</t>
  </si>
  <si>
    <t>2</t>
  </si>
  <si>
    <t>160A   3Fx50  pompe forni vecchie</t>
  </si>
  <si>
    <t>Pompe forni vecchie OK, potenza plausibile fasi OK corrette</t>
  </si>
  <si>
    <t>3</t>
  </si>
  <si>
    <t>160A   3Fx25  quadro ventilatore composit</t>
  </si>
  <si>
    <t>Fasi OK, ventilazione forzata cabina forni</t>
  </si>
  <si>
    <t>4</t>
  </si>
  <si>
    <t>160A   3Fx70  quadro luce cabina 1</t>
  </si>
  <si>
    <t>Quadro luci OK, L2 e L3 invertite , L1 diversa da L1 reale, potenza plausibile</t>
  </si>
  <si>
    <t>5</t>
  </si>
  <si>
    <t>135A   3Fx70  impianto HASBERG H1</t>
  </si>
  <si>
    <t>Hansberg H1 oleodinamica e quadro, L1 e L2 OK, L3 lettura errata (40 amp fisso), potenza plausibile ma segno invertito</t>
  </si>
  <si>
    <t>6</t>
  </si>
  <si>
    <t>175A   3Fx95  pompe raffreddamento forni</t>
  </si>
  <si>
    <t>utenza sbagliata e modulo scollegato</t>
  </si>
  <si>
    <t>7</t>
  </si>
  <si>
    <t>630A   3Fx2x240  molazze D22 e D29 terre H1</t>
  </si>
  <si>
    <t>Molazze - OK, consumi plausibili e fasi verificate OK</t>
  </si>
  <si>
    <t>8</t>
  </si>
  <si>
    <t>175A   3Fx70  centralica idraulica di staff H1</t>
  </si>
  <si>
    <t>Smottatore H1 - potenza negativa ma plausibile in valore, L1, L2, L3  OK</t>
  </si>
  <si>
    <t>9</t>
  </si>
  <si>
    <t>212A   3Fx95  distaffatori  H1</t>
  </si>
  <si>
    <t>Distaffatore Convitec H1 - OK, fasi verificate OK</t>
  </si>
  <si>
    <t>10</t>
  </si>
  <si>
    <t>250A   3Fx50  fm impianti  H1 H3</t>
  </si>
  <si>
    <t>Carri trasporto H1 H3 / Sferoidizzazione H3 - OK</t>
  </si>
  <si>
    <t>11</t>
  </si>
  <si>
    <t>630A   3Fx50  aspiratore forni</t>
  </si>
  <si>
    <t>Filtro E13 - OK potenza, corrente errata lettura tripla</t>
  </si>
  <si>
    <t>12</t>
  </si>
  <si>
    <t>630A   3Fx2x150  aspiratore  H1 H3</t>
  </si>
  <si>
    <t>Filtro E3 - OK fasi e consumi</t>
  </si>
  <si>
    <t>13</t>
  </si>
  <si>
    <t>14</t>
  </si>
  <si>
    <t>160A   3x4x25  quadri forni elettrici</t>
  </si>
  <si>
    <t>Tettoia manutenzione elettrica, fasi lette maggiori di reali, potenza plausibile</t>
  </si>
  <si>
    <t>15</t>
  </si>
  <si>
    <t>160A   3x50      gru forni</t>
  </si>
  <si>
    <t>Gru Forni, Fasi L1 e L2 OK, L3 non legge, potenza plausibile</t>
  </si>
  <si>
    <t>16</t>
  </si>
  <si>
    <t>160A   4x35      tettoria manutenzione elettrica</t>
  </si>
  <si>
    <t>Quadro forni elettrici, assorbimenti letti maggiori di quanto indicato in ModBus</t>
  </si>
  <si>
    <t>17</t>
  </si>
  <si>
    <t>160A   4x50      fm uffici</t>
  </si>
  <si>
    <t>Uffici OK, L1 e L3 ok, L2 più alta di reale</t>
  </si>
  <si>
    <t>18</t>
  </si>
  <si>
    <t>160A   4x50      capannone H3 + prese H3 + ausiliari</t>
  </si>
  <si>
    <t>Capannone H3 - L2 legge molto più del reale</t>
  </si>
  <si>
    <t>19</t>
  </si>
  <si>
    <t>400A   2x2x240  pompe raffreddamento forni Q. nuovo</t>
  </si>
  <si>
    <t>OK utenza, fasi lette leggermente più alte del reale</t>
  </si>
  <si>
    <t>20</t>
  </si>
  <si>
    <t>250A   3x70  aspiratore H3</t>
  </si>
  <si>
    <t>NO, è FM anime - fasi scambiate e L2 inconsistente, consumo plausibile</t>
  </si>
  <si>
    <t>21</t>
  </si>
  <si>
    <t>250A   3x70  fm anime</t>
  </si>
  <si>
    <t>modulo scollegato</t>
  </si>
  <si>
    <t>22</t>
  </si>
  <si>
    <t>250A   70+35  impianto H3</t>
  </si>
  <si>
    <t>Utenza ok, H3, solo L3 ok, consumo sballato e negativo</t>
  </si>
  <si>
    <t>23</t>
  </si>
  <si>
    <t>400A   3x2x95  aspiratore forni</t>
  </si>
  <si>
    <t>Nastri impianto terra, fasi e consumo plausibile</t>
  </si>
  <si>
    <t>24</t>
  </si>
  <si>
    <t>400A   3x120  impianto recupero terre H3</t>
  </si>
  <si>
    <t>Fase L3 lettura troppo alta battuta = 0 letta ModBus = 19, L1 e L2 cambiano ma non allineate con lettura, consumo non coerente, a nastri fermi 4,4 Kw</t>
  </si>
  <si>
    <t>25</t>
  </si>
  <si>
    <t>160A   4x50      forno cap cime</t>
  </si>
  <si>
    <t>OK Cap - Bassa Tensione - L2 a vuoto segna alto, L1 e L3 OK</t>
  </si>
  <si>
    <t>26</t>
  </si>
  <si>
    <t>125A   25+25+25      modelleria, mensa, spogliatoio, magazzino</t>
  </si>
  <si>
    <t>27</t>
  </si>
  <si>
    <t>1250A  3x2x240   compressori</t>
  </si>
  <si>
    <t>Fasi OK, utenza OK, consumo plausibile</t>
  </si>
  <si>
    <t>250A   3Fx95  convertitore reparto svbavatura</t>
  </si>
  <si>
    <t>Utenza piccolissima, complessa da verificare e mappare</t>
  </si>
  <si>
    <t>250A   5x35  utenze varie formatura a mano</t>
  </si>
  <si>
    <t>400A   3Fx185   mescolatore+calata+serbatoi…</t>
  </si>
  <si>
    <t>Impianto distaffatura e rigenero Sogemi, L1 OK, L2 non cambia, L3 troppo alta (sempre 39A)</t>
  </si>
  <si>
    <t>630A    ??     Rifasamento TR1</t>
  </si>
  <si>
    <t>E35, Gostol e utente PowerCenter, L1-L2 ok, L3 troppo alta (385A a vuoto)</t>
  </si>
  <si>
    <t>400A   3Fx240   sogemi</t>
  </si>
  <si>
    <t>Quadro di servizio / illuminazione capannoni formatura a mano, anime, colata, sabbiatura  - L1,L3 OK - L2 inconsistente (sempre 33A)</t>
  </si>
  <si>
    <t>800A   3Fx2x240   blindo barra</t>
  </si>
  <si>
    <t>E34 - E4 , blindo sbarra e servizi generali paranchi H1, fasi OK, consumi OK</t>
  </si>
  <si>
    <t>250A   3Fx120   quadro di servizio</t>
  </si>
  <si>
    <t>Forno stabilizzazione nuovo - L1 non corretta (molto alta), L2 e L3 non coerenti con lettura (diff 25 %)</t>
  </si>
  <si>
    <t>250A   3Fx120   aspiratore staffatura H1</t>
  </si>
  <si>
    <t>Alimentazione carroponti anime e formatura a mano IMF - L1 e L3 abbastanza vicine a realtà, L2 sballata (sempre circa 10A)</t>
  </si>
  <si>
    <t>250A   3Fx120   carroponte+spedizione+anime</t>
  </si>
  <si>
    <t>L1,L2,L3 sballatissimi (1000 A fisso) - utenza non intracciabile (ma non come indicazione)</t>
  </si>
  <si>
    <t>250A   3Fx50   alimentazione gru PGM</t>
  </si>
  <si>
    <t>L1 no, L2 no, L3 = forse Ok, utenza non corretta di difficile determinazione (errata indicazione)</t>
  </si>
  <si>
    <t>160A   5x35  prese anime formatura a mano</t>
  </si>
  <si>
    <t>L1 errata, L2 OK, L3 errata - Tunnel essiccazione animisteria macchina</t>
  </si>
  <si>
    <t>160A   5x35  forno essicatore animesteria macchine</t>
  </si>
  <si>
    <t>Manipolatore Clansman H1, L1 L2 bassi (- 30%),  L3 no (10A fisso)</t>
  </si>
  <si>
    <t>Consumi plausibili, non battuti (difficoltà cavi)</t>
  </si>
  <si>
    <t>250A   3Fx70   gru colata fromatura a mano</t>
  </si>
  <si>
    <t>Impianto IMF formatura meccanizzata - L1,L2,L3 tutte ok</t>
  </si>
  <si>
    <t>400A   3Fx240   impianto terre H3</t>
  </si>
  <si>
    <t>Quadro animisteria formatura a mano - L1, L2 incoerenti segnano un po più alte (30%), L3 sballata (sotto carico segna basso)</t>
  </si>
  <si>
    <t>630A   3Fx2x150   rifasamento TR2</t>
  </si>
  <si>
    <t>Filtro E33 - L1 e L2 alte a vuoto, L3 altissima (quasi 190A a vuoto), anche sotto carico L1 e L2 sono alte (più del doppio 700A vs 300A reale)</t>
  </si>
  <si>
    <t>400A   3Fx240   quadro animesteria e sider</t>
  </si>
  <si>
    <t>Forni a pozzo e forno a carro - L1 no (7A a vuoto), L2 no (4A a vuoto), L3 no (20 A a vuoto) , L1, L2, L3 sotto carico troppo basse</t>
  </si>
  <si>
    <t>630A   3Fx240   tunnel formatura ramolaggio e prese</t>
  </si>
  <si>
    <t>Sabbiatrice Lamef - L1 OK, L2 altissima a vuoto (425A), L3 alta a vuoto (6,5A)</t>
  </si>
  <si>
    <t>400A   3Fx240   alimentazione forni piccoli</t>
  </si>
  <si>
    <t xml:space="preserve">Blindo sbarra gru formatura a mano IMF, L1 altissima, L2 altissima, L3 leggermente alta (+20%) </t>
  </si>
  <si>
    <t>630A   3Fx2x240   formazione forno fiat</t>
  </si>
  <si>
    <t>Forno di trattamento termico grande - L1, L2, L3 ok</t>
  </si>
  <si>
    <t>400A  3Fx300,  ALIMENTAZIONE GRU</t>
  </si>
  <si>
    <t>Compressore Nirvana, fasi lette più alte del reale, consumo plausibile</t>
  </si>
  <si>
    <t>400A  3Fx2x300,  SABBIATRICE</t>
  </si>
  <si>
    <t>L1 L3 sballate (troppo alta), L2 allineata, essiccatore e compressore Ingersoll. consumo da verificare</t>
  </si>
  <si>
    <t>630A  3Fx2x300,  COMPRESSORE</t>
  </si>
  <si>
    <t>Essiccatori, Compressore Compair, L2 sballata (200A), L1 e L3 sembrano corrette, consumo plausibile</t>
  </si>
  <si>
    <t>160A  3Fx35  MAGNETOSCOPIO</t>
  </si>
  <si>
    <t>Illuminazione capannone IMF / GG / esterno cap. GG, consumi OK</t>
  </si>
  <si>
    <t>250A   3Fx2x150   alimentazione prese di servizio</t>
  </si>
  <si>
    <t>E10 - Aspirazione Blastman, fasi OK, consumo OK</t>
  </si>
  <si>
    <t>160A   3Fx25  alimentazione sgrumatore</t>
  </si>
  <si>
    <t>Depuratore, assorbimenti OK, fasi OK</t>
  </si>
  <si>
    <t>100A   3Fx35  quadro alimentazione CAB 3</t>
  </si>
  <si>
    <t>Presa magnetoscopio grandi getti, no utenze</t>
  </si>
  <si>
    <t>250A   3Fx25  pulpito sabbiatrice</t>
  </si>
  <si>
    <t>Blindo sbarra gru capannone grandi getti, fasi OK</t>
  </si>
  <si>
    <t>250A   3Fx300  sabbiatrice piccola Banfi</t>
  </si>
  <si>
    <t>Collegamenti errati da riverificare, non comprensibile</t>
  </si>
  <si>
    <t>400A   3Fx2x150  blindo servizi generali</t>
  </si>
  <si>
    <t>Fase L2 sballata (640A), L1 e L2 OK, blindo sbarra lato dx grandi getti, consumo assolutamente incongruente</t>
  </si>
  <si>
    <t>100A   3Fx35  depurazione sottostazione</t>
  </si>
  <si>
    <t>630A   3Fx240  rifasamento</t>
  </si>
  <si>
    <t>Assorbimeno incongruente e utenza non comprensibile, no rifasamento</t>
  </si>
  <si>
    <t>630A   3Fx2x240  compressore 3</t>
  </si>
  <si>
    <t>Blindo sbarra servizi lato sx capannone grandi getti</t>
  </si>
  <si>
    <t>400A   3Fx240  ampliamento capannone</t>
  </si>
  <si>
    <t>E27 - Sgrumatore Omega grandi getti, Fasi segnano troppo alto (175A vs 130A), verifica consumo</t>
  </si>
  <si>
    <t>400A   3Fx240  aspiratore cabina sbavatura</t>
  </si>
  <si>
    <t>Linea capannone collaudo, fasi leggono troppo basso (circa 1/3 del reale battuto)</t>
  </si>
  <si>
    <t>FW</t>
  </si>
  <si>
    <t>Rilievi del 27/03 e 28/03 e note 24/11/25</t>
  </si>
  <si>
    <t>Rilievi del 24/11/25</t>
  </si>
  <si>
    <t>Battuto corrente OK</t>
  </si>
  <si>
    <t>QI-KCT-200/333 DFM</t>
  </si>
  <si>
    <t>Transducer ratio</t>
  </si>
  <si>
    <t>FM Impianto H1 e H3 e ventilatore forni</t>
  </si>
  <si>
    <t>Rogowski QI-R0G-300-A</t>
  </si>
  <si>
    <t>TA/ROG</t>
  </si>
  <si>
    <t>QI-KCT-35-300/333</t>
  </si>
  <si>
    <t>Manca</t>
  </si>
  <si>
    <t>Rogowski QI-R0G-400-A</t>
  </si>
  <si>
    <t>L1 (A)</t>
  </si>
  <si>
    <t>━━━━━━</t>
  </si>
  <si>
    <t xml:space="preserve"> 0.329</t>
  </si>
  <si>
    <t xml:space="preserve"> 0.738</t>
  </si>
  <si>
    <t xml:space="preserve">  2.41</t>
  </si>
  <si>
    <t xml:space="preserve">L3 (A) </t>
  </si>
  <si>
    <t>━━━━━━━</t>
  </si>
  <si>
    <t xml:space="preserve"> 0.326 </t>
  </si>
  <si>
    <t xml:space="preserve"> 0.808 </t>
  </si>
  <si>
    <t xml:space="preserve"> 27.65 </t>
  </si>
  <si>
    <t>QI-KCT-35-400/333</t>
  </si>
  <si>
    <t>QI-KCT-35-400/33</t>
  </si>
  <si>
    <t>Scollegato</t>
  </si>
  <si>
    <t>Blindo servizi H1, Sabb</t>
  </si>
  <si>
    <t>Corretto cablaggio OK</t>
  </si>
  <si>
    <t>Verificare meglio</t>
  </si>
  <si>
    <t>Da verificare, ipotizzato</t>
  </si>
  <si>
    <t>Rogowski</t>
  </si>
  <si>
    <t>Compressore Nirvana</t>
  </si>
  <si>
    <t>Quadro luci cabina 1</t>
  </si>
  <si>
    <t>Note</t>
  </si>
  <si>
    <t>Compressore Compair L200</t>
  </si>
  <si>
    <t>Filtro E10 ???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</si>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</sst>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_-;\-* #,##0.00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3" fontId="0" fillId="0" borderId="0" xfId="0" applyNumberFormat="1"/>
    <xf numFmtId="0" fontId="0" fillId="0" borderId="0" xfId="0" applyAlignment="1">
      <alignment vertical="center"/>
    </xf>
    <xf numFmtId="0" fontId="2" fillId="2" borderId="0" xfId="0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164" fontId="0" fillId="0" borderId="0" xfId="1" applyNumberFormat="1" applyFont="1" applyAlignment="1">
      <alignment vertical="center"/>
    </xf>
    <xf numFmtId="164" fontId="0" fillId="0" borderId="0" xfId="1" applyNumberFormat="1" applyFont="1"/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164" fontId="1" fillId="0" borderId="2" xfId="1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vertical="center"/>
    </xf>
    <xf numFmtId="164" fontId="0" fillId="0" borderId="2" xfId="1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164" fontId="5" fillId="0" borderId="0" xfId="1" applyNumberFormat="1" applyFont="1" applyAlignment="1">
      <alignment vertical="center"/>
    </xf>
    <xf numFmtId="0" fontId="5" fillId="0" borderId="2" xfId="0" applyFont="1" applyBorder="1" applyAlignment="1">
      <alignment vertical="center"/>
    </xf>
    <xf numFmtId="164" fontId="5" fillId="0" borderId="2" xfId="1" applyNumberFormat="1" applyFont="1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2" fillId="3" borderId="0" xfId="0" applyFont="1" applyFill="1" applyAlignment="1">
      <alignment horizontal="left" vertical="center" wrapText="1"/>
    </xf>
    <xf numFmtId="0" fontId="0" fillId="3" borderId="2" xfId="0" applyFill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</cellXfs>
  <cellStyles count="2">
    <cellStyle name="Migliaia" xfId="1" builtinId="3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65"/>
  <sheetViews>
    <sheetView tabSelected="1" topLeftCell="A15" zoomScale="160" zoomScaleNormal="160" workbookViewId="0">
      <pane xSplit="1" topLeftCell="B1" activePane="topRight" state="frozen"/>
      <selection pane="topRight" activeCell="E17" sqref="E17"/>
    </sheetView>
  </sheetViews>
  <sheetFormatPr defaultRowHeight="14.5" x14ac:dyDescent="0.35"/>
  <cols>
    <col min="1" max="1" width="8.36328125" customWidth="1"/>
    <col min="2" max="2" width="5.7265625" bestFit="1" customWidth="1"/>
    <col min="3" max="3" width="31.453125" style="1" customWidth="1"/>
    <col min="4" max="4" width="23.7265625" style="1" customWidth="1"/>
    <col min="5" max="5" width="21.81640625" style="1" customWidth="1"/>
    <col min="6" max="6" width="8.7265625" style="2"/>
    <col min="7" max="7" width="9.7265625" customWidth="1"/>
    <col min="8" max="8" width="22.7265625" customWidth="1"/>
    <col min="9" max="9" width="14.7265625" style="14" bestFit="1" customWidth="1"/>
    <col min="10" max="10" width="20.453125" bestFit="1" customWidth="1"/>
  </cols>
  <sheetData>
    <row r="1" spans="1:10" ht="29" x14ac:dyDescent="0.35">
      <c r="A1" s="17" t="s">
        <v>0</v>
      </c>
      <c r="B1" s="17" t="s">
        <v>1</v>
      </c>
      <c r="C1" s="3" t="s">
        <v>2</v>
      </c>
      <c r="D1" s="3" t="s">
        <v>148</v>
      </c>
      <c r="E1" s="3" t="s">
        <v>149</v>
      </c>
      <c r="F1" s="17" t="s">
        <v>147</v>
      </c>
      <c r="G1" s="17" t="s">
        <v>179</v>
      </c>
      <c r="H1" s="17" t="s">
        <v>155</v>
      </c>
      <c r="I1" s="18" t="s">
        <v>152</v>
      </c>
    </row>
    <row r="2" spans="1:10" ht="29" x14ac:dyDescent="0.35">
      <c r="A2" s="19" t="s">
        <v>3</v>
      </c>
      <c r="B2" s="19" t="s">
        <v>3</v>
      </c>
      <c r="C2" s="20" t="s">
        <v>4</v>
      </c>
      <c r="D2" s="12" t="s">
        <v>103</v>
      </c>
      <c r="E2" s="24" t="s">
        <v>173</v>
      </c>
      <c r="F2" s="4">
        <v>35</v>
      </c>
      <c r="G2" s="21"/>
      <c r="H2" s="31" t="s">
        <v>158</v>
      </c>
      <c r="I2" s="26">
        <v>10000</v>
      </c>
      <c r="J2" s="6"/>
    </row>
    <row r="3" spans="1:10" ht="43.5" x14ac:dyDescent="0.35">
      <c r="A3" s="22" t="s">
        <v>3</v>
      </c>
      <c r="B3" s="22" t="s">
        <v>5</v>
      </c>
      <c r="C3" s="23" t="s">
        <v>6</v>
      </c>
      <c r="D3" s="23" t="s">
        <v>7</v>
      </c>
      <c r="E3" s="21"/>
      <c r="F3" s="4">
        <v>35</v>
      </c>
      <c r="G3" s="21"/>
      <c r="H3" s="31" t="s">
        <v>151</v>
      </c>
      <c r="I3" s="26">
        <f>200/0.333</f>
        <v>600.60060060060061</v>
      </c>
      <c r="J3" s="6"/>
    </row>
    <row r="4" spans="1:10" ht="43.5" x14ac:dyDescent="0.35">
      <c r="A4" s="22" t="s">
        <v>3</v>
      </c>
      <c r="B4" s="22" t="s">
        <v>8</v>
      </c>
      <c r="C4" s="23" t="s">
        <v>9</v>
      </c>
      <c r="D4" s="23" t="s">
        <v>10</v>
      </c>
      <c r="E4" s="24" t="s">
        <v>153</v>
      </c>
      <c r="F4" s="4">
        <v>35</v>
      </c>
      <c r="G4" s="33" t="s">
        <v>150</v>
      </c>
      <c r="H4" s="31" t="s">
        <v>151</v>
      </c>
      <c r="I4" s="26">
        <f>200/0.333</f>
        <v>600.60060060060061</v>
      </c>
      <c r="J4" s="6"/>
    </row>
    <row r="5" spans="1:10" ht="43.5" x14ac:dyDescent="0.35">
      <c r="A5" s="22" t="s">
        <v>3</v>
      </c>
      <c r="B5" s="22" t="s">
        <v>11</v>
      </c>
      <c r="C5" s="23" t="s">
        <v>12</v>
      </c>
      <c r="D5" s="23" t="s">
        <v>13</v>
      </c>
      <c r="E5" s="24" t="s">
        <v>178</v>
      </c>
      <c r="F5" s="4">
        <v>35</v>
      </c>
      <c r="G5" s="33" t="s">
        <v>150</v>
      </c>
      <c r="H5" s="31" t="s">
        <v>151</v>
      </c>
      <c r="I5" s="26">
        <f>200/0.333</f>
        <v>600.60060060060061</v>
      </c>
      <c r="J5" s="6"/>
    </row>
    <row r="6" spans="1:10" ht="72.5" x14ac:dyDescent="0.35">
      <c r="A6" s="22" t="s">
        <v>3</v>
      </c>
      <c r="B6" s="22" t="s">
        <v>14</v>
      </c>
      <c r="C6" s="23" t="s">
        <v>15</v>
      </c>
      <c r="D6" s="23" t="s">
        <v>16</v>
      </c>
      <c r="E6" s="23"/>
      <c r="F6" s="4">
        <v>35</v>
      </c>
      <c r="G6" s="21"/>
      <c r="H6" s="31" t="s">
        <v>151</v>
      </c>
      <c r="I6" s="26">
        <f>200/0.333</f>
        <v>600.60060060060061</v>
      </c>
      <c r="J6" s="6"/>
    </row>
    <row r="7" spans="1:10" ht="29" x14ac:dyDescent="0.35">
      <c r="A7" s="22" t="s">
        <v>3</v>
      </c>
      <c r="B7" s="22" t="s">
        <v>17</v>
      </c>
      <c r="C7" s="23" t="s">
        <v>18</v>
      </c>
      <c r="D7" s="23" t="s">
        <v>19</v>
      </c>
      <c r="E7" s="23"/>
      <c r="F7" s="4">
        <v>35</v>
      </c>
      <c r="G7" s="21"/>
      <c r="H7" s="25" t="s">
        <v>157</v>
      </c>
      <c r="I7" s="26"/>
      <c r="J7" s="6"/>
    </row>
    <row r="8" spans="1:10" ht="43.5" x14ac:dyDescent="0.35">
      <c r="A8" s="22" t="s">
        <v>3</v>
      </c>
      <c r="B8" s="22" t="s">
        <v>20</v>
      </c>
      <c r="C8" s="23" t="s">
        <v>21</v>
      </c>
      <c r="D8" s="23" t="s">
        <v>22</v>
      </c>
      <c r="E8" s="23"/>
      <c r="F8" s="4">
        <v>35</v>
      </c>
      <c r="G8" s="21"/>
      <c r="H8" s="31" t="s">
        <v>154</v>
      </c>
      <c r="I8" s="26">
        <v>10000</v>
      </c>
      <c r="J8" s="6"/>
    </row>
    <row r="9" spans="1:10" ht="43.5" x14ac:dyDescent="0.35">
      <c r="A9" s="22" t="s">
        <v>3</v>
      </c>
      <c r="B9" s="22" t="s">
        <v>23</v>
      </c>
      <c r="C9" s="23" t="s">
        <v>24</v>
      </c>
      <c r="D9" s="23" t="s">
        <v>25</v>
      </c>
      <c r="E9" s="23"/>
      <c r="F9" s="4">
        <v>35</v>
      </c>
      <c r="G9" s="21"/>
      <c r="H9" s="31" t="s">
        <v>151</v>
      </c>
      <c r="I9" s="26">
        <f>200/0.333</f>
        <v>600.60060060060061</v>
      </c>
      <c r="J9" s="6"/>
    </row>
    <row r="10" spans="1:10" ht="29" x14ac:dyDescent="0.35">
      <c r="A10" s="22" t="s">
        <v>3</v>
      </c>
      <c r="B10" s="22" t="s">
        <v>26</v>
      </c>
      <c r="C10" s="23" t="s">
        <v>27</v>
      </c>
      <c r="D10" s="23" t="s">
        <v>28</v>
      </c>
      <c r="E10" s="23"/>
      <c r="F10" s="4">
        <v>35</v>
      </c>
      <c r="G10" s="21"/>
      <c r="H10" s="31" t="s">
        <v>156</v>
      </c>
      <c r="I10" s="26">
        <v>900.9</v>
      </c>
      <c r="J10" s="6"/>
    </row>
    <row r="11" spans="1:10" ht="29" x14ac:dyDescent="0.35">
      <c r="A11" s="22" t="s">
        <v>3</v>
      </c>
      <c r="B11" s="22" t="s">
        <v>29</v>
      </c>
      <c r="C11" s="23" t="s">
        <v>30</v>
      </c>
      <c r="D11" s="23" t="s">
        <v>31</v>
      </c>
      <c r="E11" s="23"/>
      <c r="F11" s="4">
        <v>35</v>
      </c>
      <c r="G11" s="21"/>
      <c r="H11" s="31" t="s">
        <v>151</v>
      </c>
      <c r="I11" s="26">
        <f>200/0.333</f>
        <v>600.60060060060061</v>
      </c>
      <c r="J11" s="6"/>
    </row>
    <row r="12" spans="1:10" ht="43.5" x14ac:dyDescent="0.35">
      <c r="A12" s="22" t="s">
        <v>3</v>
      </c>
      <c r="B12" s="22" t="s">
        <v>32</v>
      </c>
      <c r="C12" s="23" t="s">
        <v>33</v>
      </c>
      <c r="D12" s="23" t="s">
        <v>34</v>
      </c>
      <c r="E12" s="23"/>
      <c r="F12" s="4">
        <v>35</v>
      </c>
      <c r="G12" s="21"/>
      <c r="H12" s="31" t="s">
        <v>154</v>
      </c>
      <c r="I12" s="26">
        <v>10000</v>
      </c>
      <c r="J12" s="6"/>
    </row>
    <row r="13" spans="1:10" ht="29" x14ac:dyDescent="0.35">
      <c r="A13" s="22" t="s">
        <v>3</v>
      </c>
      <c r="B13" s="22" t="s">
        <v>35</v>
      </c>
      <c r="C13" s="23" t="s">
        <v>36</v>
      </c>
      <c r="D13" s="23" t="s">
        <v>37</v>
      </c>
      <c r="F13" s="4">
        <v>35</v>
      </c>
      <c r="G13" s="21"/>
      <c r="H13" s="31" t="s">
        <v>154</v>
      </c>
      <c r="I13" s="26">
        <v>10000</v>
      </c>
      <c r="J13" s="6"/>
    </row>
    <row r="14" spans="1:10" ht="29" x14ac:dyDescent="0.35">
      <c r="A14" s="19" t="s">
        <v>3</v>
      </c>
      <c r="B14" s="19" t="s">
        <v>38</v>
      </c>
      <c r="C14" s="20" t="s">
        <v>4</v>
      </c>
      <c r="D14" s="12" t="s">
        <v>103</v>
      </c>
      <c r="E14" s="24" t="s">
        <v>173</v>
      </c>
      <c r="F14" s="4">
        <v>35</v>
      </c>
      <c r="G14" s="21"/>
      <c r="H14" s="31" t="s">
        <v>158</v>
      </c>
      <c r="I14" s="26">
        <v>10000</v>
      </c>
      <c r="J14" s="6"/>
    </row>
    <row r="15" spans="1:10" ht="43.5" x14ac:dyDescent="0.35">
      <c r="A15" s="15" t="s">
        <v>3</v>
      </c>
      <c r="B15" s="15" t="s">
        <v>39</v>
      </c>
      <c r="C15" s="16" t="s">
        <v>40</v>
      </c>
      <c r="D15" s="16" t="s">
        <v>41</v>
      </c>
      <c r="E15" s="11"/>
      <c r="F15" s="4">
        <v>35</v>
      </c>
      <c r="G15" s="6"/>
      <c r="H15" s="29" t="s">
        <v>151</v>
      </c>
      <c r="I15" s="30">
        <f>200/0.333</f>
        <v>600.60060060060061</v>
      </c>
      <c r="J15" s="27" t="s">
        <v>175</v>
      </c>
    </row>
    <row r="16" spans="1:10" ht="43.5" x14ac:dyDescent="0.35">
      <c r="A16" s="9" t="s">
        <v>3</v>
      </c>
      <c r="B16" s="9" t="s">
        <v>42</v>
      </c>
      <c r="C16" s="10" t="s">
        <v>43</v>
      </c>
      <c r="D16" s="10" t="s">
        <v>44</v>
      </c>
      <c r="E16" s="11"/>
      <c r="F16" s="4">
        <v>35</v>
      </c>
      <c r="G16" s="6"/>
      <c r="H16" s="29" t="s">
        <v>151</v>
      </c>
      <c r="I16" s="30">
        <f>200/0.333</f>
        <v>600.60060060060061</v>
      </c>
      <c r="J16" s="27" t="s">
        <v>175</v>
      </c>
    </row>
    <row r="17" spans="1:10" ht="58" x14ac:dyDescent="0.35">
      <c r="A17" s="9" t="s">
        <v>3</v>
      </c>
      <c r="B17" s="9" t="s">
        <v>45</v>
      </c>
      <c r="C17" s="10" t="s">
        <v>46</v>
      </c>
      <c r="D17" s="10" t="s">
        <v>47</v>
      </c>
      <c r="E17" s="11"/>
      <c r="F17" s="4">
        <v>35</v>
      </c>
      <c r="G17" s="6"/>
      <c r="H17" s="29" t="s">
        <v>151</v>
      </c>
      <c r="I17" s="30">
        <f>200/0.333</f>
        <v>600.60060060060061</v>
      </c>
      <c r="J17" s="27" t="s">
        <v>175</v>
      </c>
    </row>
    <row r="18" spans="1:10" ht="29" x14ac:dyDescent="0.35">
      <c r="A18" s="9" t="s">
        <v>3</v>
      </c>
      <c r="B18" s="9" t="s">
        <v>48</v>
      </c>
      <c r="C18" s="10" t="s">
        <v>49</v>
      </c>
      <c r="D18" s="10" t="s">
        <v>50</v>
      </c>
      <c r="E18" s="11"/>
      <c r="F18" s="4">
        <v>35</v>
      </c>
      <c r="G18" s="6"/>
      <c r="H18" s="29" t="s">
        <v>151</v>
      </c>
      <c r="I18" s="30">
        <f>200/0.333</f>
        <v>600.60060060060061</v>
      </c>
      <c r="J18" s="27" t="s">
        <v>175</v>
      </c>
    </row>
    <row r="19" spans="1:10" ht="29" x14ac:dyDescent="0.35">
      <c r="A19" s="9" t="s">
        <v>3</v>
      </c>
      <c r="B19" s="9" t="s">
        <v>51</v>
      </c>
      <c r="C19" s="10" t="s">
        <v>52</v>
      </c>
      <c r="D19" s="10" t="s">
        <v>53</v>
      </c>
      <c r="E19" s="11"/>
      <c r="F19" s="4">
        <v>35</v>
      </c>
      <c r="G19" s="6"/>
      <c r="H19" s="29" t="s">
        <v>151</v>
      </c>
      <c r="I19" s="30">
        <f>200/0.333</f>
        <v>600.60060060060061</v>
      </c>
      <c r="J19" s="27" t="s">
        <v>175</v>
      </c>
    </row>
    <row r="20" spans="1:10" ht="43.5" x14ac:dyDescent="0.35">
      <c r="A20" s="9" t="s">
        <v>3</v>
      </c>
      <c r="B20" s="9" t="s">
        <v>54</v>
      </c>
      <c r="C20" s="10" t="s">
        <v>55</v>
      </c>
      <c r="D20" s="10" t="s">
        <v>56</v>
      </c>
      <c r="E20" s="35"/>
      <c r="F20" s="4">
        <v>35</v>
      </c>
      <c r="G20" s="6"/>
      <c r="H20" s="27"/>
      <c r="I20" s="28"/>
      <c r="J20" s="27"/>
    </row>
    <row r="21" spans="1:10" ht="58" x14ac:dyDescent="0.35">
      <c r="A21" s="9" t="s">
        <v>3</v>
      </c>
      <c r="B21" s="9" t="s">
        <v>57</v>
      </c>
      <c r="C21" s="10" t="s">
        <v>58</v>
      </c>
      <c r="D21" s="10" t="s">
        <v>59</v>
      </c>
      <c r="E21" s="11"/>
      <c r="F21" s="4">
        <v>35</v>
      </c>
      <c r="G21" s="6"/>
      <c r="H21" s="29" t="s">
        <v>151</v>
      </c>
      <c r="I21" s="30">
        <f>200/0.333</f>
        <v>600.60060060060061</v>
      </c>
      <c r="J21" s="27" t="s">
        <v>175</v>
      </c>
    </row>
    <row r="22" spans="1:10" ht="33.5" customHeight="1" x14ac:dyDescent="0.35">
      <c r="A22" s="9" t="s">
        <v>3</v>
      </c>
      <c r="B22" s="9" t="s">
        <v>60</v>
      </c>
      <c r="C22" s="10" t="s">
        <v>61</v>
      </c>
      <c r="D22" s="10" t="s">
        <v>62</v>
      </c>
      <c r="E22" s="11"/>
      <c r="F22" s="4">
        <v>35</v>
      </c>
      <c r="G22" s="6"/>
      <c r="H22" s="29" t="s">
        <v>151</v>
      </c>
      <c r="I22" s="30">
        <f>200/0.333</f>
        <v>600.60060060060061</v>
      </c>
      <c r="J22" s="27" t="s">
        <v>175</v>
      </c>
    </row>
    <row r="23" spans="1:10" ht="43.5" x14ac:dyDescent="0.35">
      <c r="A23" s="9" t="s">
        <v>3</v>
      </c>
      <c r="B23" s="9" t="s">
        <v>63</v>
      </c>
      <c r="C23" s="10" t="s">
        <v>64</v>
      </c>
      <c r="D23" s="10" t="s">
        <v>65</v>
      </c>
      <c r="E23" s="11"/>
      <c r="F23" s="4">
        <v>35</v>
      </c>
      <c r="G23" s="6"/>
      <c r="H23" s="29" t="s">
        <v>151</v>
      </c>
      <c r="I23" s="30">
        <f>200/0.333</f>
        <v>600.60060060060061</v>
      </c>
      <c r="J23" s="27" t="s">
        <v>175</v>
      </c>
    </row>
    <row r="24" spans="1:10" ht="29" x14ac:dyDescent="0.35">
      <c r="A24" s="9" t="s">
        <v>3</v>
      </c>
      <c r="B24" s="9" t="s">
        <v>66</v>
      </c>
      <c r="C24" s="10" t="s">
        <v>67</v>
      </c>
      <c r="D24" s="10" t="s">
        <v>68</v>
      </c>
      <c r="E24" s="11"/>
      <c r="F24" s="4">
        <v>35</v>
      </c>
      <c r="G24" s="6"/>
      <c r="H24" s="27" t="s">
        <v>176</v>
      </c>
      <c r="I24" s="28">
        <v>10000</v>
      </c>
      <c r="J24" s="27" t="s">
        <v>175</v>
      </c>
    </row>
    <row r="25" spans="1:10" ht="87" x14ac:dyDescent="0.35">
      <c r="A25" s="9" t="s">
        <v>3</v>
      </c>
      <c r="B25" s="9" t="s">
        <v>69</v>
      </c>
      <c r="C25" s="10" t="s">
        <v>70</v>
      </c>
      <c r="D25" s="10" t="s">
        <v>71</v>
      </c>
      <c r="E25" s="11"/>
      <c r="F25" s="4">
        <v>35</v>
      </c>
      <c r="G25" s="6"/>
      <c r="H25" s="6"/>
      <c r="I25" s="13"/>
      <c r="J25" s="6"/>
    </row>
    <row r="26" spans="1:10" ht="43.5" x14ac:dyDescent="0.35">
      <c r="A26" s="9" t="s">
        <v>3</v>
      </c>
      <c r="B26" s="9" t="s">
        <v>72</v>
      </c>
      <c r="C26" s="10" t="s">
        <v>73</v>
      </c>
      <c r="D26" s="10" t="s">
        <v>74</v>
      </c>
      <c r="E26" s="11"/>
      <c r="F26" s="4">
        <v>35</v>
      </c>
      <c r="G26" s="6"/>
      <c r="I26" s="13"/>
      <c r="J26" s="6"/>
    </row>
    <row r="27" spans="1:10" ht="29" x14ac:dyDescent="0.35">
      <c r="A27" s="9" t="s">
        <v>3</v>
      </c>
      <c r="B27" s="9" t="s">
        <v>75</v>
      </c>
      <c r="C27" s="10" t="s">
        <v>76</v>
      </c>
      <c r="D27" s="10" t="s">
        <v>62</v>
      </c>
      <c r="E27" s="11"/>
      <c r="F27" s="4">
        <v>35</v>
      </c>
      <c r="G27" s="6"/>
      <c r="H27" s="6"/>
      <c r="I27" s="13"/>
      <c r="J27" s="6"/>
    </row>
    <row r="28" spans="1:10" ht="29" x14ac:dyDescent="0.35">
      <c r="A28" s="9" t="s">
        <v>3</v>
      </c>
      <c r="B28" s="9" t="s">
        <v>77</v>
      </c>
      <c r="C28" s="10" t="s">
        <v>78</v>
      </c>
      <c r="D28" s="10" t="s">
        <v>79</v>
      </c>
      <c r="E28" s="11"/>
      <c r="F28" s="4">
        <v>35</v>
      </c>
      <c r="G28" s="6"/>
      <c r="H28" s="27" t="s">
        <v>176</v>
      </c>
      <c r="I28" s="28">
        <v>10000</v>
      </c>
      <c r="J28" s="27" t="s">
        <v>175</v>
      </c>
    </row>
    <row r="29" spans="1:10" ht="29" x14ac:dyDescent="0.35">
      <c r="A29" s="8" t="s">
        <v>5</v>
      </c>
      <c r="B29" s="8" t="s">
        <v>3</v>
      </c>
      <c r="C29" s="12" t="s">
        <v>4</v>
      </c>
      <c r="D29" s="12" t="s">
        <v>103</v>
      </c>
      <c r="E29" s="24" t="s">
        <v>182</v>
      </c>
      <c r="F29" s="4">
        <v>35</v>
      </c>
      <c r="G29" s="7"/>
      <c r="H29" s="7" t="s">
        <v>158</v>
      </c>
      <c r="I29" s="13">
        <v>10000</v>
      </c>
      <c r="J29" s="6"/>
    </row>
    <row r="30" spans="1:10" ht="43.5" x14ac:dyDescent="0.35">
      <c r="A30" s="9" t="s">
        <v>5</v>
      </c>
      <c r="B30" s="9" t="s">
        <v>5</v>
      </c>
      <c r="C30" s="10" t="s">
        <v>80</v>
      </c>
      <c r="D30" s="10" t="s">
        <v>81</v>
      </c>
      <c r="E30" s="11"/>
      <c r="F30" s="4">
        <v>35</v>
      </c>
      <c r="G30" s="6"/>
      <c r="H30" s="31" t="s">
        <v>169</v>
      </c>
      <c r="I30" s="13">
        <f>400/0.333</f>
        <v>1201.2012012012012</v>
      </c>
      <c r="J30" s="6"/>
    </row>
    <row r="31" spans="1:10" ht="43.5" x14ac:dyDescent="0.35">
      <c r="A31" s="9" t="s">
        <v>5</v>
      </c>
      <c r="B31" s="9" t="s">
        <v>8</v>
      </c>
      <c r="C31" s="10" t="s">
        <v>82</v>
      </c>
      <c r="D31" s="10" t="s">
        <v>81</v>
      </c>
      <c r="E31" s="11"/>
      <c r="F31" s="4">
        <v>35</v>
      </c>
      <c r="G31" s="6"/>
      <c r="H31" s="31" t="s">
        <v>169</v>
      </c>
      <c r="I31" s="13">
        <f>400/0.333</f>
        <v>1201.2012012012012</v>
      </c>
      <c r="J31" s="6"/>
    </row>
    <row r="32" spans="1:10" ht="58" x14ac:dyDescent="0.35">
      <c r="A32" s="9" t="s">
        <v>5</v>
      </c>
      <c r="B32" s="9" t="s">
        <v>11</v>
      </c>
      <c r="C32" s="10" t="s">
        <v>83</v>
      </c>
      <c r="D32" s="10" t="s">
        <v>84</v>
      </c>
      <c r="E32" s="32" t="s">
        <v>172</v>
      </c>
      <c r="F32" s="4">
        <v>35</v>
      </c>
      <c r="G32" s="6"/>
      <c r="H32" s="31" t="s">
        <v>169</v>
      </c>
      <c r="I32" s="13">
        <f>400/0.333</f>
        <v>1201.2012012012012</v>
      </c>
      <c r="J32" s="6"/>
    </row>
    <row r="33" spans="1:10" ht="43.5" x14ac:dyDescent="0.35">
      <c r="A33" s="9" t="s">
        <v>5</v>
      </c>
      <c r="B33" s="9" t="s">
        <v>14</v>
      </c>
      <c r="C33" s="10" t="s">
        <v>85</v>
      </c>
      <c r="D33" s="10" t="s">
        <v>86</v>
      </c>
      <c r="E33" s="11"/>
      <c r="F33" s="4">
        <v>35</v>
      </c>
      <c r="G33" s="6"/>
      <c r="H33" s="31" t="s">
        <v>154</v>
      </c>
      <c r="I33" s="13">
        <v>10000</v>
      </c>
      <c r="J33" s="6"/>
    </row>
    <row r="34" spans="1:10" ht="87" x14ac:dyDescent="0.35">
      <c r="A34" s="9" t="s">
        <v>5</v>
      </c>
      <c r="B34" s="9" t="s">
        <v>17</v>
      </c>
      <c r="C34" s="10" t="s">
        <v>87</v>
      </c>
      <c r="D34" s="10" t="s">
        <v>88</v>
      </c>
      <c r="E34" s="11"/>
      <c r="F34" s="4">
        <v>35</v>
      </c>
      <c r="G34" s="6"/>
      <c r="H34" s="31" t="s">
        <v>169</v>
      </c>
      <c r="I34" s="13">
        <f>400/0.333</f>
        <v>1201.2012012012012</v>
      </c>
      <c r="J34" s="6"/>
    </row>
    <row r="35" spans="1:10" ht="43.5" x14ac:dyDescent="0.35">
      <c r="A35" s="9" t="s">
        <v>5</v>
      </c>
      <c r="B35" s="9" t="s">
        <v>20</v>
      </c>
      <c r="C35" s="10" t="s">
        <v>89</v>
      </c>
      <c r="D35" s="10" t="s">
        <v>90</v>
      </c>
      <c r="E35" s="11"/>
      <c r="F35" s="4">
        <v>35</v>
      </c>
      <c r="G35" s="6"/>
      <c r="H35" s="31" t="s">
        <v>154</v>
      </c>
      <c r="I35" s="13">
        <v>10000</v>
      </c>
      <c r="J35" s="6"/>
    </row>
    <row r="36" spans="1:10" ht="72.5" x14ac:dyDescent="0.35">
      <c r="A36" s="9" t="s">
        <v>5</v>
      </c>
      <c r="B36" s="9" t="s">
        <v>23</v>
      </c>
      <c r="C36" s="10" t="s">
        <v>91</v>
      </c>
      <c r="D36" s="10" t="s">
        <v>92</v>
      </c>
      <c r="E36" s="11"/>
      <c r="F36" s="4">
        <v>35</v>
      </c>
      <c r="G36" s="6"/>
      <c r="H36" s="31" t="s">
        <v>169</v>
      </c>
      <c r="I36" s="13">
        <f>400/0.333</f>
        <v>1201.2012012012012</v>
      </c>
      <c r="J36" s="6"/>
    </row>
    <row r="37" spans="1:10" ht="72.5" x14ac:dyDescent="0.35">
      <c r="A37" s="9" t="s">
        <v>5</v>
      </c>
      <c r="B37" s="9" t="s">
        <v>26</v>
      </c>
      <c r="C37" s="10" t="s">
        <v>93</v>
      </c>
      <c r="D37" s="10" t="s">
        <v>94</v>
      </c>
      <c r="E37" s="11"/>
      <c r="F37" s="4">
        <v>35</v>
      </c>
      <c r="G37" s="6"/>
      <c r="H37" s="31" t="s">
        <v>169</v>
      </c>
      <c r="I37" s="13">
        <f>400/0.333</f>
        <v>1201.2012012012012</v>
      </c>
      <c r="J37" s="6"/>
    </row>
    <row r="38" spans="1:10" ht="58" x14ac:dyDescent="0.35">
      <c r="A38" s="9" t="s">
        <v>5</v>
      </c>
      <c r="B38" s="9" t="s">
        <v>29</v>
      </c>
      <c r="C38" s="10" t="s">
        <v>95</v>
      </c>
      <c r="D38" s="10" t="s">
        <v>96</v>
      </c>
      <c r="E38" s="11"/>
      <c r="F38" s="4">
        <v>35</v>
      </c>
      <c r="G38" s="6"/>
      <c r="H38" s="31" t="s">
        <v>169</v>
      </c>
      <c r="I38" s="13">
        <f>400/0.333</f>
        <v>1201.2012012012012</v>
      </c>
      <c r="J38" s="6"/>
    </row>
    <row r="39" spans="1:10" ht="58" x14ac:dyDescent="0.35">
      <c r="A39" s="9" t="s">
        <v>5</v>
      </c>
      <c r="B39" s="9" t="s">
        <v>32</v>
      </c>
      <c r="C39" s="10" t="s">
        <v>97</v>
      </c>
      <c r="D39" s="10" t="s">
        <v>98</v>
      </c>
      <c r="E39" s="11"/>
      <c r="F39" s="4">
        <v>35</v>
      </c>
      <c r="G39" s="6"/>
      <c r="H39" s="27" t="s">
        <v>170</v>
      </c>
      <c r="I39" s="27">
        <f>400/0.033</f>
        <v>12121.21212121212</v>
      </c>
      <c r="J39" s="27" t="s">
        <v>174</v>
      </c>
    </row>
    <row r="40" spans="1:10" ht="43.5" x14ac:dyDescent="0.35">
      <c r="A40" s="9" t="s">
        <v>5</v>
      </c>
      <c r="B40" s="9" t="s">
        <v>35</v>
      </c>
      <c r="C40" s="10" t="s">
        <v>99</v>
      </c>
      <c r="D40" s="10" t="s">
        <v>100</v>
      </c>
      <c r="E40" s="11"/>
      <c r="F40" s="4">
        <v>35</v>
      </c>
      <c r="G40" s="6"/>
      <c r="H40" s="31" t="s">
        <v>156</v>
      </c>
      <c r="I40" s="13">
        <f>300/0.333</f>
        <v>900.90090090090087</v>
      </c>
      <c r="J40" s="6"/>
    </row>
    <row r="41" spans="1:10" ht="43.5" x14ac:dyDescent="0.35">
      <c r="A41" s="9" t="s">
        <v>5</v>
      </c>
      <c r="B41" s="9" t="s">
        <v>38</v>
      </c>
      <c r="C41" s="10" t="s">
        <v>101</v>
      </c>
      <c r="D41" s="10" t="s">
        <v>102</v>
      </c>
      <c r="E41" s="11"/>
      <c r="F41" s="4">
        <v>35</v>
      </c>
      <c r="G41" s="6"/>
      <c r="H41" s="31" t="s">
        <v>169</v>
      </c>
      <c r="I41" s="13">
        <f>400/0.333</f>
        <v>1201.2012012012012</v>
      </c>
      <c r="J41" s="6"/>
    </row>
    <row r="42" spans="1:10" ht="29" x14ac:dyDescent="0.35">
      <c r="A42" s="8" t="s">
        <v>5</v>
      </c>
      <c r="B42" s="8" t="s">
        <v>39</v>
      </c>
      <c r="C42" s="12" t="s">
        <v>4</v>
      </c>
      <c r="D42" s="12" t="s">
        <v>103</v>
      </c>
      <c r="E42" s="24" t="s">
        <v>182</v>
      </c>
      <c r="F42" s="4">
        <v>35</v>
      </c>
      <c r="G42" s="6"/>
      <c r="H42" s="31" t="s">
        <v>158</v>
      </c>
      <c r="I42" s="13">
        <v>10000</v>
      </c>
      <c r="J42" s="6"/>
    </row>
    <row r="43" spans="1:10" ht="43.5" x14ac:dyDescent="0.35">
      <c r="A43" s="9" t="s">
        <v>5</v>
      </c>
      <c r="B43" s="9" t="s">
        <v>42</v>
      </c>
      <c r="C43" s="10" t="s">
        <v>104</v>
      </c>
      <c r="D43" s="10" t="s">
        <v>105</v>
      </c>
      <c r="E43" s="11"/>
      <c r="F43" s="4">
        <v>35</v>
      </c>
      <c r="G43" s="6"/>
      <c r="H43" s="6"/>
      <c r="I43" s="13"/>
      <c r="J43" s="6"/>
    </row>
    <row r="44" spans="1:10" ht="72.5" x14ac:dyDescent="0.35">
      <c r="A44" s="9" t="s">
        <v>5</v>
      </c>
      <c r="B44" s="9" t="s">
        <v>45</v>
      </c>
      <c r="C44" s="10" t="s">
        <v>106</v>
      </c>
      <c r="D44" s="10" t="s">
        <v>107</v>
      </c>
      <c r="E44" s="11"/>
      <c r="F44" s="4">
        <v>35</v>
      </c>
      <c r="G44" s="6"/>
      <c r="H44" s="6"/>
      <c r="I44" s="13"/>
      <c r="J44" s="6"/>
    </row>
    <row r="45" spans="1:10" ht="87" x14ac:dyDescent="0.35">
      <c r="A45" s="9" t="s">
        <v>5</v>
      </c>
      <c r="B45" s="9" t="s">
        <v>48</v>
      </c>
      <c r="C45" s="10" t="s">
        <v>108</v>
      </c>
      <c r="D45" s="10" t="s">
        <v>109</v>
      </c>
      <c r="E45" s="11"/>
      <c r="F45" s="4">
        <v>35</v>
      </c>
      <c r="G45" s="6"/>
      <c r="H45" s="31" t="s">
        <v>154</v>
      </c>
      <c r="I45" s="13">
        <v>10000</v>
      </c>
      <c r="J45" s="6"/>
    </row>
    <row r="46" spans="1:10" ht="72.5" x14ac:dyDescent="0.35">
      <c r="A46" s="9" t="s">
        <v>5</v>
      </c>
      <c r="B46" s="9" t="s">
        <v>51</v>
      </c>
      <c r="C46" s="10" t="s">
        <v>110</v>
      </c>
      <c r="D46" s="10" t="s">
        <v>111</v>
      </c>
      <c r="E46" s="11"/>
      <c r="F46" s="4">
        <v>35</v>
      </c>
      <c r="G46" s="6"/>
      <c r="H46" s="6"/>
      <c r="I46" s="13"/>
      <c r="J46" s="6"/>
    </row>
    <row r="47" spans="1:10" ht="43.5" x14ac:dyDescent="0.35">
      <c r="A47" s="9" t="s">
        <v>5</v>
      </c>
      <c r="B47" s="9" t="s">
        <v>54</v>
      </c>
      <c r="C47" s="10" t="s">
        <v>112</v>
      </c>
      <c r="D47" s="10" t="s">
        <v>113</v>
      </c>
      <c r="E47" s="11"/>
      <c r="F47" s="4">
        <v>35</v>
      </c>
      <c r="G47" s="6"/>
      <c r="H47" s="31" t="s">
        <v>154</v>
      </c>
      <c r="I47" s="13">
        <v>10000</v>
      </c>
      <c r="J47" s="6"/>
    </row>
    <row r="48" spans="1:10" ht="58" x14ac:dyDescent="0.35">
      <c r="A48" s="9" t="s">
        <v>5</v>
      </c>
      <c r="B48" s="9" t="s">
        <v>57</v>
      </c>
      <c r="C48" s="10" t="s">
        <v>114</v>
      </c>
      <c r="D48" s="10" t="s">
        <v>115</v>
      </c>
      <c r="E48" s="11"/>
      <c r="F48" s="4">
        <v>35</v>
      </c>
      <c r="G48" s="6"/>
      <c r="H48" s="31" t="s">
        <v>171</v>
      </c>
      <c r="I48" s="13"/>
      <c r="J48" s="6"/>
    </row>
    <row r="49" spans="1:10" ht="43.5" x14ac:dyDescent="0.35">
      <c r="A49" s="9" t="s">
        <v>5</v>
      </c>
      <c r="B49" s="9" t="s">
        <v>60</v>
      </c>
      <c r="C49" s="10" t="s">
        <v>116</v>
      </c>
      <c r="D49" s="10" t="s">
        <v>117</v>
      </c>
      <c r="E49" s="11"/>
      <c r="F49" s="4">
        <v>35</v>
      </c>
      <c r="G49" s="6"/>
      <c r="H49" s="6"/>
      <c r="I49" s="13"/>
      <c r="J49" s="6"/>
    </row>
    <row r="50" spans="1:10" ht="29" x14ac:dyDescent="0.35">
      <c r="A50" s="8" t="s">
        <v>8</v>
      </c>
      <c r="B50" s="8" t="s">
        <v>3</v>
      </c>
      <c r="C50" s="12" t="s">
        <v>4</v>
      </c>
      <c r="D50" s="12" t="s">
        <v>103</v>
      </c>
      <c r="E50" s="24" t="s">
        <v>182</v>
      </c>
      <c r="F50" s="4">
        <v>35</v>
      </c>
      <c r="G50" s="6"/>
      <c r="H50" s="6"/>
      <c r="I50" s="13"/>
      <c r="J50" s="6"/>
    </row>
    <row r="51" spans="1:10" ht="43.5" x14ac:dyDescent="0.35">
      <c r="A51" s="9" t="s">
        <v>8</v>
      </c>
      <c r="B51" s="9" t="s">
        <v>5</v>
      </c>
      <c r="C51" s="10" t="s">
        <v>118</v>
      </c>
      <c r="D51" s="10" t="s">
        <v>119</v>
      </c>
      <c r="E51" s="24" t="s">
        <v>177</v>
      </c>
      <c r="F51" s="4">
        <v>35</v>
      </c>
      <c r="G51" s="6"/>
      <c r="H51" s="27" t="s">
        <v>176</v>
      </c>
      <c r="I51" s="28">
        <v>10000</v>
      </c>
      <c r="J51" s="27" t="s">
        <v>175</v>
      </c>
    </row>
    <row r="52" spans="1:10" ht="58" x14ac:dyDescent="0.35">
      <c r="A52" s="9" t="s">
        <v>8</v>
      </c>
      <c r="B52" s="9" t="s">
        <v>8</v>
      </c>
      <c r="C52" s="10" t="s">
        <v>120</v>
      </c>
      <c r="D52" s="10" t="s">
        <v>121</v>
      </c>
      <c r="E52" s="11"/>
      <c r="F52" s="4">
        <v>35</v>
      </c>
      <c r="H52" s="27" t="s">
        <v>176</v>
      </c>
      <c r="I52" s="28">
        <v>10000</v>
      </c>
      <c r="J52" s="27" t="s">
        <v>175</v>
      </c>
    </row>
    <row r="53" spans="1:10" ht="72.5" x14ac:dyDescent="0.35">
      <c r="A53" s="9" t="s">
        <v>8</v>
      </c>
      <c r="B53" s="9" t="s">
        <v>11</v>
      </c>
      <c r="C53" s="10" t="s">
        <v>122</v>
      </c>
      <c r="D53" s="10" t="s">
        <v>123</v>
      </c>
      <c r="E53" s="24" t="s">
        <v>180</v>
      </c>
      <c r="F53" s="4">
        <v>35</v>
      </c>
      <c r="G53" s="6"/>
      <c r="H53" s="27" t="s">
        <v>176</v>
      </c>
      <c r="I53" s="28">
        <v>10000</v>
      </c>
      <c r="J53" s="27" t="s">
        <v>175</v>
      </c>
    </row>
    <row r="54" spans="1:10" ht="43.5" x14ac:dyDescent="0.35">
      <c r="A54" s="9" t="s">
        <v>8</v>
      </c>
      <c r="B54" s="9" t="s">
        <v>14</v>
      </c>
      <c r="C54" s="10" t="s">
        <v>124</v>
      </c>
      <c r="D54" s="10" t="s">
        <v>125</v>
      </c>
      <c r="E54" s="11"/>
      <c r="F54" s="4">
        <v>35</v>
      </c>
      <c r="G54" s="6"/>
      <c r="H54" s="29" t="s">
        <v>151</v>
      </c>
      <c r="I54" s="30">
        <f>200/0.333</f>
        <v>600.60060060060061</v>
      </c>
      <c r="J54" s="27" t="s">
        <v>175</v>
      </c>
    </row>
    <row r="55" spans="1:10" ht="43.5" x14ac:dyDescent="0.35">
      <c r="A55" s="9" t="s">
        <v>8</v>
      </c>
      <c r="B55" s="9" t="s">
        <v>17</v>
      </c>
      <c r="C55" s="10" t="s">
        <v>126</v>
      </c>
      <c r="D55" s="10" t="s">
        <v>127</v>
      </c>
      <c r="E55" s="11" t="s">
        <v>181</v>
      </c>
      <c r="F55" s="4">
        <v>35</v>
      </c>
      <c r="G55" s="6"/>
      <c r="H55" s="6"/>
      <c r="I55" s="13"/>
      <c r="J55" s="6"/>
    </row>
    <row r="56" spans="1:10" ht="29" x14ac:dyDescent="0.35">
      <c r="A56" s="9" t="s">
        <v>8</v>
      </c>
      <c r="B56" s="9" t="s">
        <v>20</v>
      </c>
      <c r="C56" s="10" t="s">
        <v>128</v>
      </c>
      <c r="D56" s="10" t="s">
        <v>129</v>
      </c>
      <c r="E56" s="34"/>
      <c r="F56" s="4">
        <v>35</v>
      </c>
      <c r="G56" s="6"/>
      <c r="H56" s="29" t="s">
        <v>151</v>
      </c>
      <c r="I56" s="30">
        <f>200/0.333</f>
        <v>600.60060060060061</v>
      </c>
      <c r="J56" s="27" t="s">
        <v>175</v>
      </c>
    </row>
    <row r="57" spans="1:10" ht="29" x14ac:dyDescent="0.35">
      <c r="A57" s="9" t="s">
        <v>8</v>
      </c>
      <c r="B57" s="9" t="s">
        <v>23</v>
      </c>
      <c r="C57" s="10" t="s">
        <v>130</v>
      </c>
      <c r="D57" s="10" t="s">
        <v>131</v>
      </c>
      <c r="E57" s="11"/>
      <c r="F57" s="4">
        <v>35</v>
      </c>
      <c r="G57" s="6"/>
      <c r="H57" s="29" t="s">
        <v>151</v>
      </c>
      <c r="I57" s="30">
        <f>200/0.333</f>
        <v>600.60060060060061</v>
      </c>
      <c r="J57" s="27" t="s">
        <v>175</v>
      </c>
    </row>
    <row r="58" spans="1:10" ht="43.5" x14ac:dyDescent="0.35">
      <c r="A58" s="9" t="s">
        <v>8</v>
      </c>
      <c r="B58" s="9" t="s">
        <v>26</v>
      </c>
      <c r="C58" s="10" t="s">
        <v>132</v>
      </c>
      <c r="D58" s="10" t="s">
        <v>133</v>
      </c>
      <c r="E58" s="11"/>
      <c r="F58" s="4">
        <v>35</v>
      </c>
      <c r="G58" s="6"/>
      <c r="H58" s="29" t="s">
        <v>151</v>
      </c>
      <c r="I58" s="30">
        <f>200/0.333</f>
        <v>600.60060060060061</v>
      </c>
      <c r="J58" s="27" t="s">
        <v>175</v>
      </c>
    </row>
    <row r="59" spans="1:10" ht="43.5" x14ac:dyDescent="0.35">
      <c r="A59" s="9" t="s">
        <v>8</v>
      </c>
      <c r="B59" s="9" t="s">
        <v>29</v>
      </c>
      <c r="C59" s="10" t="s">
        <v>134</v>
      </c>
      <c r="D59" s="10" t="s">
        <v>135</v>
      </c>
      <c r="E59" s="11"/>
      <c r="F59" s="4">
        <v>35</v>
      </c>
      <c r="G59" s="6"/>
      <c r="H59" s="29" t="s">
        <v>151</v>
      </c>
      <c r="I59" s="30">
        <f>200/0.333</f>
        <v>600.60060060060061</v>
      </c>
      <c r="J59" s="27" t="s">
        <v>175</v>
      </c>
    </row>
    <row r="60" spans="1:10" ht="72.5" x14ac:dyDescent="0.35">
      <c r="A60" s="9" t="s">
        <v>8</v>
      </c>
      <c r="B60" s="9" t="s">
        <v>32</v>
      </c>
      <c r="C60" s="10" t="s">
        <v>136</v>
      </c>
      <c r="D60" s="10" t="s">
        <v>137</v>
      </c>
      <c r="E60" s="11"/>
      <c r="F60" s="4">
        <v>35</v>
      </c>
      <c r="G60" s="6"/>
      <c r="H60" s="27" t="s">
        <v>169</v>
      </c>
      <c r="I60" s="28">
        <f>400/0.333</f>
        <v>1201.2012012012012</v>
      </c>
      <c r="J60" s="27" t="s">
        <v>175</v>
      </c>
    </row>
    <row r="61" spans="1:10" ht="29" x14ac:dyDescent="0.35">
      <c r="A61" s="9" t="s">
        <v>8</v>
      </c>
      <c r="B61" s="9" t="s">
        <v>35</v>
      </c>
      <c r="C61" s="10" t="s">
        <v>138</v>
      </c>
      <c r="D61" s="10" t="s">
        <v>62</v>
      </c>
      <c r="E61" s="11"/>
      <c r="F61" s="4">
        <v>35</v>
      </c>
      <c r="G61" s="6"/>
      <c r="H61" s="29" t="s">
        <v>151</v>
      </c>
      <c r="I61" s="30">
        <f>200/0.333</f>
        <v>600.60060060060061</v>
      </c>
      <c r="J61" s="27" t="s">
        <v>175</v>
      </c>
    </row>
    <row r="62" spans="1:10" ht="58" x14ac:dyDescent="0.35">
      <c r="A62" s="9" t="s">
        <v>8</v>
      </c>
      <c r="B62" s="9" t="s">
        <v>38</v>
      </c>
      <c r="C62" s="10" t="s">
        <v>139</v>
      </c>
      <c r="D62" s="10" t="s">
        <v>140</v>
      </c>
      <c r="E62" s="11"/>
      <c r="F62" s="4">
        <v>35</v>
      </c>
      <c r="G62" s="6"/>
      <c r="H62" s="27" t="s">
        <v>169</v>
      </c>
      <c r="I62" s="28">
        <f>400/0.333</f>
        <v>1201.2012012012012</v>
      </c>
      <c r="J62" s="27" t="s">
        <v>175</v>
      </c>
    </row>
    <row r="63" spans="1:10" ht="29" x14ac:dyDescent="0.35">
      <c r="A63" s="9" t="s">
        <v>8</v>
      </c>
      <c r="B63" s="9" t="s">
        <v>39</v>
      </c>
      <c r="C63" s="10" t="s">
        <v>141</v>
      </c>
      <c r="D63" s="10" t="s">
        <v>142</v>
      </c>
      <c r="E63" s="11"/>
      <c r="F63" s="4">
        <v>35</v>
      </c>
      <c r="G63" s="6"/>
      <c r="H63" s="27" t="s">
        <v>176</v>
      </c>
      <c r="I63" s="28">
        <v>10000</v>
      </c>
      <c r="J63" s="27" t="s">
        <v>175</v>
      </c>
    </row>
    <row r="64" spans="1:10" ht="58" x14ac:dyDescent="0.35">
      <c r="A64" s="9" t="s">
        <v>8</v>
      </c>
      <c r="B64" s="9" t="s">
        <v>42</v>
      </c>
      <c r="C64" s="10" t="s">
        <v>143</v>
      </c>
      <c r="D64" s="10" t="s">
        <v>144</v>
      </c>
      <c r="E64" s="11"/>
      <c r="F64" s="4">
        <v>35</v>
      </c>
      <c r="G64" s="6"/>
      <c r="H64" s="27" t="s">
        <v>169</v>
      </c>
      <c r="I64" s="28">
        <f>400/0.333</f>
        <v>1201.2012012012012</v>
      </c>
      <c r="J64" s="27" t="s">
        <v>175</v>
      </c>
    </row>
    <row r="65" spans="1:10" ht="43.5" x14ac:dyDescent="0.35">
      <c r="A65" s="9" t="s">
        <v>8</v>
      </c>
      <c r="B65" s="9" t="s">
        <v>45</v>
      </c>
      <c r="C65" s="10" t="s">
        <v>145</v>
      </c>
      <c r="D65" s="10" t="s">
        <v>146</v>
      </c>
      <c r="E65" s="11"/>
      <c r="F65" s="4">
        <v>35</v>
      </c>
      <c r="G65" s="6"/>
      <c r="H65" s="27" t="s">
        <v>169</v>
      </c>
      <c r="I65" s="28">
        <f>400/0.333</f>
        <v>1201.2012012012012</v>
      </c>
      <c r="J65" s="27" t="s">
        <v>175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CCF0A-00D0-40E3-A4B9-5D9AEA3F399D}">
  <dimension ref="B2:F13"/>
  <sheetViews>
    <sheetView workbookViewId="0">
      <selection activeCell="I9" sqref="I9"/>
    </sheetView>
  </sheetViews>
  <sheetFormatPr defaultRowHeight="14.5" x14ac:dyDescent="0.35"/>
  <cols>
    <col min="2" max="2" width="12.90625" bestFit="1" customWidth="1"/>
  </cols>
  <sheetData>
    <row r="2" spans="2:6" x14ac:dyDescent="0.35">
      <c r="B2" t="s">
        <v>159</v>
      </c>
      <c r="D2" t="s">
        <v>164</v>
      </c>
    </row>
    <row r="3" spans="2:6" x14ac:dyDescent="0.35">
      <c r="B3" t="s">
        <v>160</v>
      </c>
      <c r="D3" t="s">
        <v>165</v>
      </c>
    </row>
    <row r="4" spans="2:6" x14ac:dyDescent="0.35">
      <c r="B4" s="5">
        <v>41347</v>
      </c>
      <c r="D4" s="5">
        <v>62053</v>
      </c>
      <c r="F4">
        <v>62</v>
      </c>
    </row>
    <row r="5" spans="2:6" x14ac:dyDescent="0.35">
      <c r="B5" t="s">
        <v>161</v>
      </c>
      <c r="D5" t="s">
        <v>166</v>
      </c>
    </row>
    <row r="6" spans="2:6" x14ac:dyDescent="0.35">
      <c r="B6" t="s">
        <v>162</v>
      </c>
      <c r="D6" t="s">
        <v>167</v>
      </c>
    </row>
    <row r="7" spans="2:6" x14ac:dyDescent="0.35">
      <c r="B7" s="5">
        <v>29124</v>
      </c>
      <c r="D7" s="5">
        <v>19215</v>
      </c>
      <c r="F7">
        <v>19.2</v>
      </c>
    </row>
    <row r="8" spans="2:6" x14ac:dyDescent="0.35">
      <c r="B8" t="s">
        <v>163</v>
      </c>
      <c r="D8" s="5">
        <v>2958</v>
      </c>
      <c r="F8">
        <v>2.9</v>
      </c>
    </row>
    <row r="9" spans="2:6" x14ac:dyDescent="0.35">
      <c r="B9" s="5">
        <v>1398</v>
      </c>
      <c r="D9" s="5">
        <v>5699</v>
      </c>
      <c r="F9">
        <v>5.7</v>
      </c>
    </row>
    <row r="10" spans="2:6" x14ac:dyDescent="0.35">
      <c r="B10" s="5">
        <v>2339</v>
      </c>
      <c r="D10" s="5">
        <v>2238</v>
      </c>
      <c r="F10">
        <v>2.2999999999999998</v>
      </c>
    </row>
    <row r="11" spans="2:6" x14ac:dyDescent="0.35">
      <c r="B11" s="5">
        <v>1532</v>
      </c>
      <c r="D11" s="5">
        <v>1374</v>
      </c>
      <c r="F11">
        <v>1.3</v>
      </c>
    </row>
    <row r="12" spans="2:6" x14ac:dyDescent="0.35">
      <c r="B12" s="5">
        <v>16502</v>
      </c>
      <c r="D12" t="s">
        <v>168</v>
      </c>
      <c r="F12">
        <v>27.65</v>
      </c>
    </row>
    <row r="13" spans="2:6" x14ac:dyDescent="0.35">
      <c r="B13">
        <v>0</v>
      </c>
      <c r="D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1</vt:i4>
      </vt:variant>
    </vt:vector>
  </HeadingPairs>
  <TitlesOfParts>
    <vt:vector size="3" baseType="lpstr">
      <vt:lpstr>Foglio1</vt:lpstr>
      <vt:lpstr>Foglio3</vt:lpstr>
      <vt:lpstr>Foglio1!Area_stampa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Massimiliano Passeri</cp:lastModifiedBy>
  <cp:lastPrinted>2025-11-24T09:42:48Z</cp:lastPrinted>
  <dcterms:created xsi:type="dcterms:W3CDTF">2025-07-21T16:49:25Z</dcterms:created>
  <dcterms:modified xsi:type="dcterms:W3CDTF">2025-11-28T11:31:03Z</dcterms:modified>
</cp:coreProperties>
</file>